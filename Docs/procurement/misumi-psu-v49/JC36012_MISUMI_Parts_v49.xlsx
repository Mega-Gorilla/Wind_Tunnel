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74031a7fa9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調達一覧" sheetId="1" r:id="Rc32f31e4cfbe42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10">
    <x:font>
      <x:sz val="11"/>
      <x:name val="Carlito"/>
    </x:font>
    <x:font>
      <x:sz val="10"/>
      <x:color rgb="FF203044"/>
      <x:name val="Yu Gothic"/>
    </x:font>
    <x:font>
      <x:b/>
      <x:sz val="16"/>
      <x:color rgb="FF263F57"/>
      <x:name val="Yu Gothic"/>
    </x:font>
    <x:font>
      <x:sz val="10"/>
      <x:color rgb="FF586575"/>
      <x:name val="Yu Gothic"/>
    </x:font>
    <x:font>
      <x:b/>
      <x:sz val="14"/>
      <x:color rgb="FF147D75"/>
      <x:name val="Yu Gothic"/>
    </x:font>
    <x:font>
      <x:b/>
      <x:sz val="14"/>
      <x:color rgb="FF945F00"/>
      <x:name val="Yu Gothic"/>
    </x:font>
    <x:font>
      <x:b/>
      <x:sz val="10"/>
      <x:color rgb="FFFFFFFF"/>
      <x:name val="Yu Gothic"/>
    </x:font>
    <x:font>
      <x:sz val="9"/>
      <x:color rgb="FF147D75"/>
      <x:name val="Yu Gothic"/>
    </x:font>
    <x:font>
      <x:b/>
      <x:sz val="11"/>
      <x:color rgb="FF263F57"/>
      <x:name val="Yu Gothic"/>
    </x:font>
    <x:font>
      <x:sz val="9"/>
      <x:color rgb="FF586575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F1F6F7"/>
      </x:patternFill>
    </x:fill>
    <x:fill>
      <x:patternFill patternType="solid">
        <x:fgColor rgb="FF263F57"/>
      </x:patternFill>
    </x:fill>
    <x:fill>
      <x:patternFill patternType="solid">
        <x:fgColor rgb="FFFFF2D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e0ef4bb9134ab1" /><Relationship Type="http://schemas.openxmlformats.org/officeDocument/2006/relationships/theme" Target="/xl/theme/theme1.xml" Id="R2c17f20f08834534" /><Relationship Type="http://schemas.openxmlformats.org/officeDocument/2006/relationships/sharedStrings" Target="/xl/sharedStrings.xml" Id="R976fdeeb23304361" /><Relationship Type="http://schemas.openxmlformats.org/officeDocument/2006/relationships/worksheet" Target="/xl/worksheets/sheet1.xml" Id="Rc32f31e4cfbe42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.5" hidden="0" customWidth="1"/>
    <x:col min="2" max="2" width="10.630000114440918" hidden="0" customWidth="1"/>
    <x:col min="3" max="3" width="26.25" hidden="0" customWidth="1"/>
    <x:col min="4" max="4" width="31.8799991607666" hidden="0" customWidth="1"/>
    <x:col min="5" max="5" width="9.380000114440918" hidden="0" customWidth="1"/>
    <x:col min="6" max="6" width="10.630000114440918" hidden="0" customWidth="1"/>
    <x:col min="7" max="7" width="28.75" hidden="0" customWidth="1"/>
    <x:col min="8" max="8" width="2.5" hidden="0" customWidth="1"/>
    <x:col min="9" max="9" width="48.130001068115234" hidden="0" customWidth="1"/>
    <x:col min="10" max="10" width="2.5" hidden="0" customWidth="1"/>
    <x:col min="11" max="11" width="53.7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2" customHeight="1">
      <x:c r="A2" s="1"/>
      <x:c r="B2" s="2" t="str">
        <x:v>JC-360-12 電源固定部品｜ミスミ調達リスト</x:v>
      </x:c>
      <x:c r="C2" s="1"/>
      <x:c r="D2" s="1"/>
      <x:c r="E2" s="1"/>
      <x:c r="F2" s="1"/>
      <x:c r="G2" s="1"/>
      <x:c r="H2" s="1"/>
      <x:c r="I2" s="1"/>
      <x:c r="J2" s="1"/>
      <x:c r="K2" s="1"/>
    </x:row>
    <x:row r="3" ht="23" customHeight="1">
      <x:c r="A3" s="1"/>
      <x:c r="B3" s="3" t="str">
        <x:v>WindTunnel · Fusion merged model v49 · 1台分／予備なし · 調査日 2026-10-16</x:v>
      </x:c>
      <x:c r="C3" s="1"/>
      <x:c r="D3" s="1"/>
      <x:c r="E3" s="1"/>
      <x:c r="F3" s="1"/>
      <x:c r="G3" s="1"/>
      <x:c r="H3" s="1"/>
      <x:c r="I3" s="1"/>
      <x:c r="J3" s="1"/>
      <x:c r="K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3" customHeight="1">
      <x:c r="A5" s="1"/>
      <x:c r="B5" s="4" t="str">
        <x:v>CSV品目数</x:v>
      </x:c>
      <x:c r="C5" s="5" t="n">
        <x:f>COUNTIF(F9:F17,"&gt;0")</x:f>
        <x:v>6</x:v>
      </x:c>
      <x:c r="D5" s="4" t="str">
        <x:v>CSV数量合計（個／本／枚）</x:v>
      </x:c>
      <x:c r="E5" s="5" t="n">
        <x:f>SUM(F9:F17)</x:f>
        <x:v>32</x:v>
      </x:c>
      <x:c r="F5" s="4" t="str">
        <x:v>保留品目数</x:v>
      </x:c>
      <x:c r="G5" s="6" t="n">
        <x:f>COUNTIF(B9:B17,"保留")</x:f>
        <x:v>3</x:v>
      </x:c>
      <x:c r="H5" s="1"/>
      <x:c r="I5" s="1"/>
      <x:c r="J5" s="1"/>
      <x:c r="K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 ht="23" customHeight="1">
      <x:c r="A7" s="1"/>
      <x:c r="B7" s="3" t="str">
        <x:v>カタログ規格に照合済み。WOSへの実アップロード・価格照会・発注は未実施。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 ht="28" customHeight="1">
      <x:c r="A8" s="1"/>
      <x:c r="B8" s="8" t="str">
        <x:v>CSV区分</x:v>
      </x:c>
      <x:c r="C8" s="8" t="str">
        <x:v>用途・部品</x:v>
      </x:c>
      <x:c r="D8" s="8" t="str">
        <x:v>指定寸法／仕様</x:v>
      </x:c>
      <x:c r="E8" s="8" t="str">
        <x:v>必要数</x:v>
      </x:c>
      <x:c r="F8" s="8" t="str">
        <x:v>CSV数量</x:v>
      </x:c>
      <x:c r="G8" s="8" t="str">
        <x:v>ミスミ型番</x:v>
      </x:c>
      <x:c r="H8" s="1"/>
      <x:c r="I8" s="8" t="str">
        <x:v>選定・取付上の注意</x:v>
      </x:c>
      <x:c r="J8" s="1"/>
      <x:c r="K8" s="8" t="str">
        <x:v>出典URL（ミスミ公式／商品系列）</x:v>
      </x:c>
    </x:row>
    <x:row r="9" ht="52" customHeight="1">
      <x:c r="A9" s="1"/>
      <x:c r="B9" s="10" t="str">
        <x:v>収録</x:v>
      </x:c>
      <x:c r="C9" s="10" t="str">
        <x:v>背面プレート用カラー</x:v>
      </x:c>
      <x:c r="D9" s="10" t="str">
        <x:v>外径8 × 内径5.5 × 長さ6 mm</x:v>
      </x:c>
      <x:c r="E9" s="14" t="n">
        <x:v>4</x:v>
      </x:c>
      <x:c r="F9" s="14" t="n">
        <x:v>4</x:v>
      </x:c>
      <x:c r="G9" s="12" t="str">
        <x:v>SPMSB-D8-V5.5-L6</x:v>
      </x:c>
      <x:c r="H9" s="9"/>
      <x:c r="I9" s="10" t="str">
        <x:v>S45C相当・四三酸化鉄皮膜。公称寸法はv49と一致。</x:v>
      </x:c>
      <x:c r="J9" s="9"/>
      <x:c r="K9" s="11" t="str">
        <x:v>https://jp.misumi-ec.com/vona2/detail/110411266569/</x:v>
      </x:c>
    </x:row>
    <x:row r="10" ht="52" customHeight="1">
      <x:c r="A10" s="1"/>
      <x:c r="B10" s="10" t="str">
        <x:v>収録</x:v>
      </x:c>
      <x:c r="C10" s="10" t="str">
        <x:v>ブラケット用カラー</x:v>
      </x:c>
      <x:c r="D10" s="10" t="str">
        <x:v>外径8 × 内径5.5 × 長さ10 mm</x:v>
      </x:c>
      <x:c r="E10" s="14" t="n">
        <x:v>4</x:v>
      </x:c>
      <x:c r="F10" s="14" t="n">
        <x:v>4</x:v>
      </x:c>
      <x:c r="G10" s="12" t="str">
        <x:v>SPMSB-D8-V5.5-L10</x:v>
      </x:c>
      <x:c r="H10" s="9"/>
      <x:c r="I10" s="10" t="str">
        <x:v>S45C相当・四三酸化鉄皮膜。公称寸法はv49と一致。</x:v>
      </x:c>
      <x:c r="J10" s="9"/>
      <x:c r="K10" s="11" t="str">
        <x:v>https://jp.misumi-ec.com/vona2/detail/110411266569/</x:v>
      </x:c>
    </x:row>
    <x:row r="11" ht="52" customHeight="1">
      <x:c r="A11" s="1"/>
      <x:c r="B11" s="10" t="str">
        <x:v>収録</x:v>
      </x:c>
      <x:c r="C11" s="10" t="str">
        <x:v>プレート→フレームねじ</x:v>
      </x:c>
      <x:c r="D11" s="10" t="str">
        <x:v>M5 × 12 / 六角穴付・全ねじ</x:v>
      </x:c>
      <x:c r="E11" s="14" t="n">
        <x:v>4</x:v>
      </x:c>
      <x:c r="F11" s="14" t="n">
        <x:v>4</x:v>
      </x:c>
      <x:c r="G11" s="12" t="str">
        <x:v>CB5-12</x:v>
      </x:c>
      <x:c r="H11" s="9"/>
      <x:c r="I11" s="10" t="str">
        <x:v>SCM435・黒色皮膜。頭径8.5、高さ5 mm。六角棒4 mm。</x:v>
      </x:c>
      <x:c r="J11" s="9"/>
      <x:c r="K11" s="11" t="str">
        <x:v>https://jp.misumi-ec.com/vona2/detail/110300239070/</x:v>
      </x:c>
    </x:row>
    <x:row r="12" ht="52" customHeight="1">
      <x:c r="A12" s="1"/>
      <x:c r="B12" s="10" t="str">
        <x:v>収録</x:v>
      </x:c>
      <x:c r="C12" s="10" t="str">
        <x:v>ブラケット→フレームねじ</x:v>
      </x:c>
      <x:c r="D12" s="10" t="str">
        <x:v>M5 × 16 / 六角穴付・全ねじ</x:v>
      </x:c>
      <x:c r="E12" s="14" t="n">
        <x:v>4</x:v>
      </x:c>
      <x:c r="F12" s="14" t="n">
        <x:v>4</x:v>
      </x:c>
      <x:c r="G12" s="12" t="str">
        <x:v>CB5-16</x:v>
      </x:c>
      <x:c r="H12" s="9"/>
      <x:c r="I12" s="10" t="str">
        <x:v>SCM435・黒色皮膜。頭径8.5、高さ5 mm。六角棒4 mm。</x:v>
      </x:c>
      <x:c r="J12" s="9"/>
      <x:c r="K12" s="11" t="str">
        <x:v>https://jp.misumi-ec.com/vona2/detail/110300239070/</x:v>
      </x:c>
    </x:row>
    <x:row r="13" ht="52" customHeight="1">
      <x:c r="A13" s="1"/>
      <x:c r="B13" s="10" t="str">
        <x:v>収録</x:v>
      </x:c>
      <x:c r="C13" s="10" t="str">
        <x:v>M5用平座金</x:v>
      </x:c>
      <x:c r="D13" s="10" t="str">
        <x:v>内径5.3 × 外径10 × 厚さ1 mm</x:v>
      </x:c>
      <x:c r="E13" s="14" t="n">
        <x:v>8</x:v>
      </x:c>
      <x:c r="F13" s="14" t="n">
        <x:v>8</x:v>
      </x:c>
      <x:c r="G13" s="12" t="str">
        <x:v>SPWF5</x:v>
      </x:c>
      <x:c r="H13" s="9"/>
      <x:c r="I13" s="10" t="str">
        <x:v>SUS304。v49の座面・座ぐり径に対し公称寸法適合。</x:v>
      </x:c>
      <x:c r="J13" s="9"/>
      <x:c r="K13" s="11" t="str">
        <x:v>https://jp.misumi-ec.com/vona2/detail/110300252910/</x:v>
      </x:c>
    </x:row>
    <x:row r="14" ht="52" customHeight="1">
      <x:c r="A14" s="1"/>
      <x:c r="B14" s="10" t="str">
        <x:v>収録</x:v>
      </x:c>
      <x:c r="C14" s="10" t="str">
        <x:v>5シリーズ先入れ溝ナット</x:v>
      </x:c>
      <x:c r="D14" s="10" t="str">
        <x:v>M5 / HFS5-2020・溝幅6 mm用</x:v>
      </x:c>
      <x:c r="E14" s="14" t="n">
        <x:v>8</x:v>
      </x:c>
      <x:c r="F14" s="14" t="n">
        <x:v>8</x:v>
      </x:c>
      <x:c r="G14" s="12" t="str">
        <x:v>HNTT5-5</x:v>
      </x:c>
      <x:c r="H14" s="9"/>
      <x:c r="I14" s="10" t="str">
        <x:v>S10C相当・三価クロメート。先入れ型のためフレーム端から挿入。</x:v>
      </x:c>
      <x:c r="J14" s="9"/>
      <x:c r="K14" s="11" t="str">
        <x:v>https://jp.misumi-ec.com/vona2/detail/110302607960/</x:v>
      </x:c>
    </x:row>
    <x:row r="15" ht="52" customHeight="1">
      <x:c r="A15" s="1"/>
      <x:c r="B15" s="15" t="str">
        <x:v>保留</x:v>
      </x:c>
      <x:c r="C15" s="15" t="str">
        <x:v>電源下面用スペーサー</x:v>
      </x:c>
      <x:c r="D15" s="15" t="str">
        <x:v>外径8 × 内径3.2 × 長さ4 mm</x:v>
      </x:c>
      <x:c r="E15" s="16" t="n">
        <x:v>4</x:v>
      </x:c>
      <x:c r="F15" s="16" t="n">
        <x:v>0</x:v>
      </x:c>
      <x:c r="G15" s="17" t="str">
        <x:v>SPMSB-D8-V3.2-L4</x:v>
      </x:c>
      <x:c r="H15" s="9"/>
      <x:c r="I15" s="15" t="str">
        <x:v>寸法指定は規格内。実機のねじ径・取付穴・4 mmの隙間を確認後に手配。</x:v>
      </x:c>
      <x:c r="J15" s="9"/>
      <x:c r="K15" s="11" t="str">
        <x:v>https://jp.misumi-ec.com/vona2/detail/110411266569/</x:v>
      </x:c>
    </x:row>
    <x:row r="16" ht="52" customHeight="1">
      <x:c r="A16" s="1"/>
      <x:c r="B16" s="15" t="str">
        <x:v>保留</x:v>
      </x:c>
      <x:c r="C16" s="15" t="str">
        <x:v>電源下面・背面固定ねじ</x:v>
      </x:c>
      <x:c r="D16" s="15" t="str">
        <x:v>M3 × 16 / 六角穴付・全ねじ</x:v>
      </x:c>
      <x:c r="E16" s="16" t="n">
        <x:v>8</x:v>
      </x:c>
      <x:c r="F16" s="16" t="n">
        <x:v>0</x:v>
      </x:c>
      <x:c r="G16" s="17" t="str">
        <x:v>CB3-16</x:v>
      </x:c>
      <x:c r="H16" s="9"/>
      <x:c r="I16" s="15" t="str">
        <x:v>下面4本＋背面4本。実機M3・最大挿入長が未確認。CSVから除外。</x:v>
      </x:c>
      <x:c r="J16" s="9"/>
      <x:c r="K16" s="11" t="str">
        <x:v>https://jp.misumi-ec.com/vona2/detail/110300239070/</x:v>
      </x:c>
    </x:row>
    <x:row r="17" ht="52" customHeight="1">
      <x:c r="A17" s="1"/>
      <x:c r="B17" s="15" t="str">
        <x:v>保留</x:v>
      </x:c>
      <x:c r="C17" s="15" t="str">
        <x:v>M3用平座金</x:v>
      </x:c>
      <x:c r="D17" s="15" t="str">
        <x:v>内径3.2 × 外径7 × 厚さ0.5 mm</x:v>
      </x:c>
      <x:c r="E17" s="16" t="n">
        <x:v>8</x:v>
      </x:c>
      <x:c r="F17" s="16" t="n">
        <x:v>0</x:v>
      </x:c>
      <x:c r="G17" s="17" t="str">
        <x:v>SPWF3</x:v>
      </x:c>
      <x:c r="H17" s="9"/>
      <x:c r="I17" s="15" t="str">
        <x:v>SUS304。電源側ねじ径の確定後に手配。PWF3は外径6 mmで別寸法。</x:v>
      </x:c>
      <x:c r="J17" s="9"/>
      <x:c r="K17" s="11" t="str">
        <x:v>https://jp.misumi-ec.com/vona2/detail/110300252910/</x:v>
      </x:c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3" customHeight="1">
      <x:c r="A19" s="1"/>
      <x:c r="B19" s="1" t="str">
        <x:v>販売単位：全9候補とも単品・最小1個。CSV数量は箱数ではなく個数。不要な予備・PACK／BOX品は不採用。</x:v>
      </x:c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3" customHeight="1">
      <x:c r="A20" s="1"/>
      <x:c r="B20" s="1" t="str">
        <x:v>価格・納期・送料はWOSで確定。CBシリーズ等の少量手配は、バラチャージの有無を含む行合計を確認する。</x:v>
      </x:c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3" customHeight="1">
      <x:c r="A21" s="1"/>
      <x:c r="B21" s="1" t="str">
        <x:v>寸法指定品は公式の型番構成から作成。D・V・Lを必ず照合：D8、V5.5／3.2、L6／10／4。</x:v>
      </x:c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8" customHeight="1">
      <x:c r="A23" s="1"/>
      <x:c r="B23" s="18" t="str">
        <x:v>CSVの取込方法</x:v>
      </x:c>
      <x:c r="C23" s="4"/>
      <x:c r="D23" s="4"/>
      <x:c r="E23" s="4"/>
      <x:c r="F23" s="4"/>
      <x:c r="G23" s="4"/>
      <x:c r="H23" s="1"/>
      <x:c r="I23" s="1" t="str">
        <x:v>公式CSV操作ガイド</x:v>
      </x:c>
      <x:c r="J23" s="1"/>
      <x:c r="K23" s="1"/>
    </x:row>
    <x:row r="24" ht="45" customHeight="1">
      <x:c r="A24" s="1"/>
      <x:c r="B24" s="1" t="str">
        <x:v>1. ミスミにログインし、見積・注文の「CSVアップロード」を開く。まず見積として内容を確認する。</x:v>
      </x:c>
      <x:c r="C24" s="1"/>
      <x:c r="D24" s="1"/>
      <x:c r="E24" s="1"/>
      <x:c r="F24" s="1"/>
      <x:c r="G24" s="1"/>
      <x:c r="H24" s="1"/>
      <x:c r="I24" s="19" t="str">
        <x:v>右記PDFの24～27ページを参照。</x:v>
      </x:c>
      <x:c r="J24" s="1"/>
      <x:c r="K24" s="21" t="str">
        <x:v>https://jp.misumi-ec.com/pr/techs_work_optimization/pdf/techs_bc_case02niju_20230720.pdf</x:v>
      </x:c>
    </x:row>
    <x:row r="25" ht="45" customHeight="1">
      <x:c r="A25" s="1"/>
      <x:c r="B25" s="1" t="str">
        <x:v>2. 同梱の MISUMI_PSU_v49_frame_order.csv を選択。カンマ区切り、先頭行はタイトル行として扱う。</x:v>
      </x:c>
      <x:c r="C25" s="1"/>
      <x:c r="D25" s="1"/>
      <x:c r="E25" s="1"/>
      <x:c r="F25" s="1"/>
      <x:c r="G25" s="1"/>
      <x:c r="H25" s="1"/>
      <x:c r="I25" s="19" t="str">
        <x:v>CSVは固定の列順ではなく、アップロード後に項目を割り当てる方式。</x:v>
      </x:c>
      <x:c r="J25" s="1"/>
      <x:c r="K25" s="1"/>
    </x:row>
    <x:row r="26" ht="45" customHeight="1">
      <x:c r="A26" s="1"/>
      <x:c r="B26" s="1" t="str">
        <x:v>3. 第1列＝商品型番、第2列＝数量、第3列＝メーカーを割り当てる。メーカーは全行「ミスミ」。</x:v>
      </x:c>
      <x:c r="C26" s="1"/>
      <x:c r="D26" s="1"/>
      <x:c r="E26" s="1"/>
      <x:c r="F26" s="1"/>
      <x:c r="G26" s="1"/>
      <x:c r="H26" s="1"/>
      <x:c r="I26" s="19" t="str">
        <x:v>採用文字コードは当ファイルの保存仕様。公式の文字コード指定までは確認できていない。実機取込は未試験。</x:v>
      </x:c>
      <x:c r="J26" s="1"/>
      <x:c r="K26" s="1"/>
    </x:row>
    <x:row r="27" ht="23" customHeight="1">
      <x:c r="A27" s="1"/>
      <x:c r="B27" s="1" t="str">
        <x:v>4. メーカーを認識しない場合は手動で「ミスミ」を指定。6行・合計32個になっていることを確認する。</x:v>
      </x:c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3" customHeight="1">
      <x:c r="A28" s="1"/>
      <x:c r="B28" s="1" t="str">
        <x:v>5. 型番判定、数量、単位、価格、出荷日を確認してから発注する。現時点では見積・発注していない。</x:v>
      </x:c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3" customHeight="1">
      <x:c r="A29" s="1"/>
      <x:c r="B29" s="1" t="str">
        <x:v>CSV保存仕様：Windows-31J（CP932／Shift-JIS系）、BOMなし、CRLF。説明・保留行・0数量行は含めない。</x:v>
      </x:c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3" customHeight="1">
      <x:c r="A30" s="1"/>
      <x:c r="B30" s="1" t="str">
        <x:v>文字化け時はCSVをExcelのデータ取込でCP932として読み、「Excelから一括コピー」で同じ3列を貼り付ける。</x:v>
      </x:c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8" customHeight="1">
      <x:c r="A32" s="1"/>
      <x:c r="B32" s="18" t="str">
        <x:v>電源側3品目を保留にした理由</x:v>
      </x:c>
      <x:c r="C32" s="4"/>
      <x:c r="D32" s="4"/>
      <x:c r="E32" s="4"/>
      <x:c r="F32" s="4"/>
      <x:c r="G32" s="4"/>
      <x:c r="H32" s="1"/>
      <x:c r="I32" s="1"/>
      <x:c r="J32" s="1"/>
      <x:c r="K32" s="1"/>
    </x:row>
    <x:row r="33" ht="23" customHeight="1">
      <x:c r="A33" s="1"/>
      <x:c r="B33" s="1" t="str">
        <x:v>JC-360-12は実機型番のみ確認済み。v49の電源外形・穴は旧参照CADで、実機の取付図ではない。</x:v>
      </x:c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3" customHeight="1">
      <x:c r="A34" s="1"/>
      <x:c r="B34" s="1" t="str">
        <x:v>下面M3の公称突出：16 − 9（樹脂）− 4（スペーサー）− 0.5（座金）＝ 2.5 mm。</x:v>
      </x:c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3" customHeight="1">
      <x:c r="A35" s="1"/>
      <x:c r="B35" s="1" t="str">
        <x:v>背面M3の公称突出：16 − 13（樹脂）− 0.5（座金）＝ 2.5 mm。いずれもメーカー許容値ではない。</x:v>
      </x:c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3" customHeight="1">
      <x:c r="A36" s="1"/>
      <x:c r="B36" s="1" t="str">
        <x:v>実機のねじ径・穴ピッチ・最大挿入長を確認し、寸法公差を含めて長さを選び直してから保留を解除する。</x:v>
      </x:c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3" customHeight="1">
      <x:c r="A37" s="1"/>
      <x:c r="B37" s="1" t="str">
        <x:v>参考：M5は12 − 6 − 1 ＝ 5 mm、16 − 10 − 1 ＝ 5 mm。溝底への底付きとナット掛かりを現物確認する。</x:v>
      </x:c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8" customHeight="1">
      <x:c r="A39" s="1"/>
      <x:c r="B39" s="18" t="str">
        <x:v>別手配・試作上の注意</x:v>
      </x:c>
      <x:c r="C39" s="4"/>
      <x:c r="D39" s="4"/>
      <x:c r="E39" s="4"/>
      <x:c r="F39" s="4"/>
      <x:c r="G39" s="4"/>
      <x:c r="H39" s="1"/>
      <x:c r="I39" s="1"/>
      <x:c r="J39" s="1"/>
      <x:c r="K39" s="1"/>
    </x:row>
    <x:row r="40" ht="23" customHeight="1">
      <x:c r="A40" s="1"/>
      <x:c r="B40" s="1" t="str">
        <x:v>自作：PLA背面プレート1個、PLA補強ブラケット2個。加工金属板・ヒートインサートナットは今回のBOMに不要。</x:v>
      </x:c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3" customHeight="1">
      <x:c r="A41" s="1"/>
      <x:c r="B41" s="1" t="str">
        <x:v>カラーは公称寸法を維持。実測長さ、印刷穴径8.2 mm、座面を確認し、樹脂の潰れを締付けで吸収しない。</x:v>
      </x:c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3" customHeight="1">
      <x:c r="A42" s="1"/>
      <x:c r="B42" s="1" t="str">
        <x:v>M3ねじ頭はカタログ径5.5 mm（v49簡略形状5.1 mm）だが、公称工具穴8.4 mm内。実物工具も確認する。</x:v>
      </x:c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3" customHeight="1">
      <x:c r="A43" s="1"/>
      <x:c r="B43" s="1" t="str">
        <x:v>先入れナットを挿入できない場合、後入れ型へ無確認で置き換えず、形状・ねじ掛かりを再検討する。</x:v>
      </x:c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3" customHeight="1">
      <x:c r="A44" s="1"/>
      <x:c r="B44" s="1" t="str">
        <x:v>別途必須：AC端子の接触防止、AC線の抜け止め、PE/FG保護接地。実機依存のため型番・数量は未選定。</x:v>
      </x:c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3" customHeight="1">
      <x:c r="A45" s="1"/>
      <x:c r="B45" s="1" t="str">
        <x:v>この部品表は型合わせ試作用。PLAの熱・クリープ・保持強度評価は未完了で、通電運用の承認ではない。</x:v>
      </x:c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3" customHeight="1">
      <x:c r="A46" s="1"/>
      <x:c r="B46" s="22" t="str">
        <x:v>設計根拠：hardware/mechanical/power_supply_printed_20261016/ASSEMBLY_AND_LIMITATIONS.txt</x:v>
      </x:c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</x:sheetData>
  <x:pageMargins left="0.7" right="0.7" top="0.75" bottom="0.75" header="0.3" footer="0.3"/>
</x:worksheet>
</file>